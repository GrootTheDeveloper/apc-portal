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ảng nhiệm vụ" sheetId="1" state="visible" r:id="rId1"/>
    <sheet xmlns:r="http://schemas.openxmlformats.org/officeDocument/2006/relationships" name="Chi tiết Sprint 1" sheetId="2" state="visible" r:id="rId2"/>
    <sheet xmlns:r="http://schemas.openxmlformats.org/officeDocument/2006/relationships" name="Thành viên" sheetId="3" state="visible" r:id="rId3"/>
    <sheet xmlns:r="http://schemas.openxmlformats.org/officeDocument/2006/relationships" name="Quy ước &amp; Điều phố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081F3D"/>
      <sz val="14"/>
    </font>
    <font>
      <name val="Arial"/>
      <b val="1"/>
      <color rgb="00081F3D"/>
      <sz val="11"/>
    </font>
    <font>
      <name val="Arial"/>
      <b val="1"/>
      <color rgb="00081F3D"/>
      <sz val="12"/>
    </font>
    <font>
      <name val="Arial"/>
      <b val="1"/>
      <sz val="10"/>
    </font>
    <font>
      <name val="Arial"/>
      <b val="1"/>
      <color rgb="00A32D2D"/>
      <sz val="10"/>
    </font>
  </fonts>
  <fills count="5">
    <fill>
      <patternFill/>
    </fill>
    <fill>
      <patternFill patternType="gray125"/>
    </fill>
    <fill>
      <patternFill patternType="solid">
        <fgColor rgb="00081F3D"/>
      </patternFill>
    </fill>
    <fill>
      <patternFill patternType="solid">
        <fgColor rgb="00FFF7CC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9" fontId="2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DEDE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D7EAD9"/>
        </patternFill>
      </fill>
    </dxf>
    <dxf>
      <fill>
        <patternFill patternType="solid">
          <fgColor rgb="00F8D7DA"/>
        </patternFill>
      </fill>
    </dxf>
    <dxf>
      <font>
        <name val="Arial"/>
        <b val="1"/>
        <color rgb="00A32D2D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6" customWidth="1" min="3" max="3"/>
    <col width="42" customWidth="1" min="4" max="4"/>
    <col width="40" customWidth="1" min="5" max="5"/>
    <col width="26" customWidth="1" min="6" max="6"/>
    <col width="30" customWidth="1" min="7" max="7"/>
    <col width="10" customWidth="1" min="8" max="8"/>
    <col width="8" customWidth="1" min="9" max="9"/>
    <col width="15" customWidth="1" min="10" max="10"/>
    <col width="10" customWidth="1" min="11" max="11"/>
    <col width="11" customWidth="1" min="12" max="12"/>
    <col width="12" customWidth="1" min="13" max="13"/>
    <col width="14" customWidth="1" min="14" max="14"/>
  </cols>
  <sheetData>
    <row r="1" ht="30" customHeight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Các bước chính</t>
        </is>
      </c>
      <c r="F1" s="1" t="inlineStr">
        <is>
          <t>Đầu ra</t>
        </is>
      </c>
      <c r="G1" s="1" t="inlineStr">
        <is>
          <t>Gợi ý / file liên quan</t>
        </is>
      </c>
      <c r="H1" s="1" t="inlineStr">
        <is>
          <t>Phụ trách</t>
        </is>
      </c>
      <c r="I1" s="1" t="inlineStr">
        <is>
          <t>Ưu tiên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Sprint</t>
        </is>
      </c>
      <c r="M1" s="1" t="inlineStr">
        <is>
          <t>Deadline</t>
        </is>
      </c>
      <c r="N1" s="1" t="inlineStr">
        <is>
          <t>Phụ thuộc</t>
        </is>
      </c>
    </row>
    <row r="2" ht="96" customHeight="1">
      <c r="A2" s="2" t="inlineStr">
        <is>
          <t>VD0</t>
        </is>
      </c>
      <c r="B2" s="2" t="inlineStr">
        <is>
          <t>— Ví dụ —</t>
        </is>
      </c>
      <c r="C2" s="3" t="inlineStr">
        <is>
          <t>Dòng mẫu (xoá khi dùng)</t>
        </is>
      </c>
      <c r="D2" s="3" t="inlineStr">
        <is>
          <t>Mô tả 'xong nghĩa là gì' để bạn nào đọc cũng biết đích đến.</t>
        </is>
      </c>
      <c r="E2" s="3" t="inlineStr">
        <is>
          <t>1) bước một
2) bước hai
3) bước ba</t>
        </is>
      </c>
      <c r="F2" s="3" t="inlineStr">
        <is>
          <t>PR + file/kết quả bàn giao</t>
        </is>
      </c>
      <c r="G2" s="3" t="inlineStr">
        <is>
          <t>Link tài liệu, file trong repo</t>
        </is>
      </c>
      <c r="H2" s="2" t="inlineStr">
        <is>
          <t>BE-1</t>
        </is>
      </c>
      <c r="I2" s="2" t="inlineStr">
        <is>
          <t>P1</t>
        </is>
      </c>
      <c r="J2" s="2" t="inlineStr">
        <is>
          <t>Đang làm</t>
        </is>
      </c>
      <c r="K2" s="2" t="n">
        <v>40</v>
      </c>
      <c r="L2" s="2" t="inlineStr">
        <is>
          <t>Tuần 1-2</t>
        </is>
      </c>
      <c r="M2" s="2" t="inlineStr">
        <is>
          <t>2026-09-05</t>
        </is>
      </c>
      <c r="N2" s="2" t="inlineStr">
        <is>
          <t>-</t>
        </is>
      </c>
    </row>
    <row r="3" ht="96" customHeight="1">
      <c r="A3" s="2" t="inlineStr">
        <is>
          <t>BE1</t>
        </is>
      </c>
      <c r="B3" s="2" t="inlineStr">
        <is>
          <t>Backend</t>
        </is>
      </c>
      <c r="C3" s="3" t="inlineStr">
        <is>
          <t>Thiết kế DB schema + migration</t>
        </is>
      </c>
      <c r="D3" s="3" t="inlineStr">
        <is>
          <t>Có schema quan hệ cho các thực thể chính và chạy được migration lên Postgres local.</t>
        </is>
      </c>
      <c r="E3" s="3" t="inlineStr">
        <is>
          <t>1) Chọn ORM/migration (Prisma hoặc Drizzle)
2) Định nghĩa bảng: user, role, news, event, project, membership_application
3) Viết migration đầu tiên
4) Chạy lên Postgres qua compose</t>
        </is>
      </c>
      <c r="F3" s="3" t="inlineStr">
        <is>
          <t>Thư mục apps/api/src/db (schema+migrations) + lệnh 'db:migrate' + ERD ngắn</t>
        </is>
      </c>
      <c r="G3" s="3" t="inlineStr">
        <is>
          <t>docs/02-roles-permissions, docs/05-feature-catalog; Postgres đã có qua 'pnpm infra:up'</t>
        </is>
      </c>
      <c r="H3" s="2" t="inlineStr">
        <is>
          <t>BE-1</t>
        </is>
      </c>
      <c r="I3" s="2" t="inlineStr">
        <is>
          <t>P0</t>
        </is>
      </c>
      <c r="J3" s="2" t="inlineStr">
        <is>
          <t>Chưa bắt đầu</t>
        </is>
      </c>
      <c r="K3" s="2" t="n">
        <v>0</v>
      </c>
      <c r="L3" s="2" t="inlineStr">
        <is>
          <t>S1: 01–12/09</t>
        </is>
      </c>
      <c r="M3" s="2" t="inlineStr">
        <is>
          <t>05/09/2026</t>
        </is>
      </c>
      <c r="N3" s="2" t="inlineStr">
        <is>
          <t>-</t>
        </is>
      </c>
    </row>
    <row r="4" ht="96" customHeight="1">
      <c r="A4" s="2" t="inlineStr">
        <is>
          <t>BE2</t>
        </is>
      </c>
      <c r="B4" s="2" t="inlineStr">
        <is>
          <t>Backend</t>
        </is>
      </c>
      <c r="C4" s="3" t="inlineStr">
        <is>
          <t>Seed dữ liệu mẫu</t>
        </is>
      </c>
      <c r="D4" s="3" t="inlineStr">
        <is>
          <t>Có lệnh tạo sẵn 1 admin + vài user + vài tin/sự kiện/dự án để frontend có dữ liệu chạy.</t>
        </is>
      </c>
      <c r="E4" s="3" t="inlineStr">
        <is>
          <t>1) Viết script seed dùng cùng ORM
2) Tạo dữ liệu khớp nội dung trang chủ
3) Thêm lệnh 'db:seed'</t>
        </is>
      </c>
      <c r="F4" s="3" t="inlineStr">
        <is>
          <t>apps/api/src/db/seed.ts + lệnh pnpm db:seed</t>
        </is>
      </c>
      <c r="G4" s="3" t="inlineStr">
        <is>
          <t>Mật khẩu admin để trong .env, KHÔNG hardcode</t>
        </is>
      </c>
      <c r="H4" s="2" t="inlineStr">
        <is>
          <t>BE-1</t>
        </is>
      </c>
      <c r="I4" s="2" t="inlineStr">
        <is>
          <t>P1</t>
        </is>
      </c>
      <c r="J4" s="2" t="inlineStr">
        <is>
          <t>Chưa bắt đầu</t>
        </is>
      </c>
      <c r="K4" s="2" t="n">
        <v>0</v>
      </c>
      <c r="L4" s="2" t="inlineStr">
        <is>
          <t>S1: 01–12/09</t>
        </is>
      </c>
      <c r="M4" s="2" t="inlineStr">
        <is>
          <t>12/09/2026</t>
        </is>
      </c>
      <c r="N4" s="2" t="inlineStr">
        <is>
          <t>BE1</t>
        </is>
      </c>
    </row>
    <row r="5" ht="96" customHeight="1">
      <c r="A5" s="2" t="inlineStr">
        <is>
          <t>BE3</t>
        </is>
      </c>
      <c r="B5" s="2" t="inlineStr">
        <is>
          <t>Backend</t>
        </is>
      </c>
      <c r="C5" s="3" t="inlineStr">
        <is>
          <t>Đăng nhập + session/token</t>
        </is>
      </c>
      <c r="D5" s="3" t="inlineStr">
        <is>
          <t>User đăng nhập được, server phát session/token và xác thực request tiếp theo.</t>
        </is>
      </c>
      <c r="E5" s="3" t="inlineStr">
        <is>
          <t>1) Endpoint POST /auth/login, /auth/logout, /auth/me
2) Hash mật khẩu (argon2/bcrypt)
3) Phát cookie session hoặc JWT
4) Middleware xác thực</t>
        </is>
      </c>
      <c r="F5" s="3" t="inlineStr">
        <is>
          <t>Route auth trong apps/api + test đăng nhập đúng/sai</t>
        </is>
      </c>
      <c r="G5" s="3" t="inlineStr">
        <is>
          <t>docs/02-roles-permissions; validate input bằng Zod (đã có trong stack)</t>
        </is>
      </c>
      <c r="H5" s="2" t="inlineStr">
        <is>
          <t>BE-2</t>
        </is>
      </c>
      <c r="I5" s="2" t="inlineStr">
        <is>
          <t>P0</t>
        </is>
      </c>
      <c r="J5" s="2" t="inlineStr">
        <is>
          <t>Chưa bắt đầu</t>
        </is>
      </c>
      <c r="K5" s="2" t="n">
        <v>0</v>
      </c>
      <c r="L5" s="2" t="inlineStr">
        <is>
          <t>S1: 01–12/09</t>
        </is>
      </c>
      <c r="M5" s="2" t="inlineStr">
        <is>
          <t>12/09/2026</t>
        </is>
      </c>
      <c r="N5" s="2" t="inlineStr">
        <is>
          <t>BE1</t>
        </is>
      </c>
    </row>
    <row r="6" ht="96" customHeight="1">
      <c r="A6" s="2" t="inlineStr">
        <is>
          <t>BE4</t>
        </is>
      </c>
      <c r="B6" s="2" t="inlineStr">
        <is>
          <t>Backend</t>
        </is>
      </c>
      <c r="C6" s="3" t="inlineStr">
        <is>
          <t>Phân quyền RBAC</t>
        </is>
      </c>
      <c r="D6" s="3" t="inlineStr">
        <is>
          <t>Mỗi endpoint biết được vai trò nào được phép (thành viên/trưởng ban/BCN/admin).</t>
        </is>
      </c>
      <c r="E6" s="3" t="inlineStr">
        <is>
          <t>1) Định nghĩa vai trò + quyền
2) Middleware kiểm quyền theo route
3) Chặn truy cập trái phép trả 403</t>
        </is>
      </c>
      <c r="F6" s="3" t="inlineStr">
        <is>
          <t>Middleware phân quyền + bảng vai trò-quyền + test 403</t>
        </is>
      </c>
      <c r="G6" s="3" t="inlineStr">
        <is>
          <t>docs/02-roles-permissions là nguồn chuẩn</t>
        </is>
      </c>
      <c r="H6" s="2" t="inlineStr">
        <is>
          <t>BE-2</t>
        </is>
      </c>
      <c r="I6" s="2" t="inlineStr">
        <is>
          <t>P0</t>
        </is>
      </c>
      <c r="J6" s="2" t="inlineStr">
        <is>
          <t>Chưa bắt đầu</t>
        </is>
      </c>
      <c r="K6" s="2" t="n">
        <v>0</v>
      </c>
      <c r="L6" s="2" t="inlineStr">
        <is>
          <t>S2: 15–26/09</t>
        </is>
      </c>
      <c r="M6" s="2" t="inlineStr">
        <is>
          <t>19/09/2026</t>
        </is>
      </c>
      <c r="N6" s="2" t="inlineStr">
        <is>
          <t>BE3</t>
        </is>
      </c>
    </row>
    <row r="7" ht="96" customHeight="1">
      <c r="A7" s="2" t="inlineStr">
        <is>
          <t>BE5</t>
        </is>
      </c>
      <c r="B7" s="2" t="inlineStr">
        <is>
          <t>Backend</t>
        </is>
      </c>
      <c r="C7" s="3" t="inlineStr">
        <is>
          <t>API CRUD Tin tức</t>
        </is>
      </c>
      <c r="D7" s="3" t="inlineStr">
        <is>
          <t>Tạo/sửa/xoá/đọc tin tức qua API, có phân trang và kiểm quyền.</t>
        </is>
      </c>
      <c r="E7" s="3" t="inlineStr">
        <is>
          <t>1) Model + schema Zod
2) GET list (phân trang) + GET chi tiết
3) POST/PUT/DELETE (chỉ vai trò được phép)
4) Test cơ bản</t>
        </is>
      </c>
      <c r="F7" s="3" t="inlineStr">
        <is>
          <t>Route /news + test</t>
        </is>
      </c>
      <c r="G7" s="3" t="inlineStr">
        <is>
          <t>Dùng lại middleware BE4; field khớp UI trang Tin tức</t>
        </is>
      </c>
      <c r="H7" s="2" t="inlineStr">
        <is>
          <t>BE-3</t>
        </is>
      </c>
      <c r="I7" s="2" t="inlineStr">
        <is>
          <t>P1</t>
        </is>
      </c>
      <c r="J7" s="2" t="inlineStr">
        <is>
          <t>Chưa bắt đầu</t>
        </is>
      </c>
      <c r="K7" s="2" t="n">
        <v>0</v>
      </c>
      <c r="L7" s="2" t="inlineStr">
        <is>
          <t>S2: 15–26/09</t>
        </is>
      </c>
      <c r="M7" s="2" t="inlineStr">
        <is>
          <t>19/09/2026</t>
        </is>
      </c>
      <c r="N7" s="2" t="inlineStr">
        <is>
          <t>BE1,BE4</t>
        </is>
      </c>
    </row>
    <row r="8" ht="96" customHeight="1">
      <c r="A8" s="2" t="inlineStr">
        <is>
          <t>BE6</t>
        </is>
      </c>
      <c r="B8" s="2" t="inlineStr">
        <is>
          <t>Backend</t>
        </is>
      </c>
      <c r="C8" s="3" t="inlineStr">
        <is>
          <t>API CRUD Sự kiện</t>
        </is>
      </c>
      <c r="D8" s="3" t="inlineStr">
        <is>
          <t>CRUD sự kiện qua API (ngày, địa điểm, chuyên mục), có kiểm quyền.</t>
        </is>
      </c>
      <c r="E8" s="3" t="inlineStr">
        <is>
          <t>1) Model + schema
2) List/chi tiết
3) POST/PUT/DELETE có quyền
4) Test</t>
        </is>
      </c>
      <c r="F8" s="3" t="inlineStr">
        <is>
          <t>Route /events + test</t>
        </is>
      </c>
      <c r="G8" s="3" t="inlineStr">
        <is>
          <t>Field khớp card Sự kiện ở trang chủ (ngày, tag, meta)</t>
        </is>
      </c>
      <c r="H8" s="2" t="inlineStr">
        <is>
          <t>BE-3</t>
        </is>
      </c>
      <c r="I8" s="2" t="inlineStr">
        <is>
          <t>P1</t>
        </is>
      </c>
      <c r="J8" s="2" t="inlineStr">
        <is>
          <t>Chưa bắt đầu</t>
        </is>
      </c>
      <c r="K8" s="2" t="n">
        <v>0</v>
      </c>
      <c r="L8" s="2" t="inlineStr">
        <is>
          <t>S2: 15–26/09</t>
        </is>
      </c>
      <c r="M8" s="2" t="inlineStr">
        <is>
          <t>22/09/2026</t>
        </is>
      </c>
      <c r="N8" s="2" t="inlineStr">
        <is>
          <t>BE1,BE4</t>
        </is>
      </c>
    </row>
    <row r="9" ht="96" customHeight="1">
      <c r="A9" s="2" t="inlineStr">
        <is>
          <t>BE7</t>
        </is>
      </c>
      <c r="B9" s="2" t="inlineStr">
        <is>
          <t>Backend</t>
        </is>
      </c>
      <c r="C9" s="3" t="inlineStr">
        <is>
          <t>API CRUD Dự án</t>
        </is>
      </c>
      <c r="D9" s="3" t="inlineStr">
        <is>
          <t>CRUD dự án qua API (mô tả, tag công nghệ, ảnh), có kiểm quyền.</t>
        </is>
      </c>
      <c r="E9" s="3" t="inlineStr">
        <is>
          <t>1) Model + schema
2) List/chi tiết
3) POST/PUT/DELETE có quyền
4) Test</t>
        </is>
      </c>
      <c r="F9" s="3" t="inlineStr">
        <is>
          <t>Route /projects + test</t>
        </is>
      </c>
      <c r="G9" s="3" t="inlineStr">
        <is>
          <t>Field khớp section Dự án; ảnh dùng chung với BE8</t>
        </is>
      </c>
      <c r="H9" s="2" t="inlineStr">
        <is>
          <t>BE-3</t>
        </is>
      </c>
      <c r="I9" s="2" t="inlineStr">
        <is>
          <t>P1</t>
        </is>
      </c>
      <c r="J9" s="2" t="inlineStr">
        <is>
          <t>Chưa bắt đầu</t>
        </is>
      </c>
      <c r="K9" s="2" t="n">
        <v>0</v>
      </c>
      <c r="L9" s="2" t="inlineStr">
        <is>
          <t>S2: 15–26/09</t>
        </is>
      </c>
      <c r="M9" s="2" t="inlineStr">
        <is>
          <t>26/09/2026</t>
        </is>
      </c>
      <c r="N9" s="2" t="inlineStr">
        <is>
          <t>BE1,BE4</t>
        </is>
      </c>
    </row>
    <row r="10" ht="96" customHeight="1">
      <c r="A10" s="2" t="inlineStr">
        <is>
          <t>BE8</t>
        </is>
      </c>
      <c r="B10" s="2" t="inlineStr">
        <is>
          <t>Backend</t>
        </is>
      </c>
      <c r="C10" s="3" t="inlineStr">
        <is>
          <t>Upload file qua API (MinIO/S3)</t>
        </is>
      </c>
      <c r="D10" s="3" t="inlineStr">
        <is>
          <t>Upload được ảnh/tệp lên MinIO và trả URL dùng lại được.</t>
        </is>
      </c>
      <c r="E10" s="3" t="inlineStr">
        <is>
          <t>1) Endpoint upload (multipart)
2) Lưu vào MinIO (S3 SDK)
3) Trả URL/khoá
4) Giới hạn loại+dung lượng</t>
        </is>
      </c>
      <c r="F10" s="3" t="inlineStr">
        <is>
          <t>Route /upload + hướng dẫn cấu hình bucket</t>
        </is>
      </c>
      <c r="G10" s="3" t="inlineStr">
        <is>
          <t>MinIO đã có qua compose (console :9001); dùng khoá trong .env</t>
        </is>
      </c>
      <c r="H10" s="2" t="inlineStr">
        <is>
          <t>BE-1</t>
        </is>
      </c>
      <c r="I10" s="2" t="inlineStr">
        <is>
          <t>P1</t>
        </is>
      </c>
      <c r="J10" s="2" t="inlineStr">
        <is>
          <t>Chưa bắt đầu</t>
        </is>
      </c>
      <c r="K10" s="2" t="n">
        <v>0</v>
      </c>
      <c r="L10" s="2" t="inlineStr">
        <is>
          <t>S2: 15–26/09</t>
        </is>
      </c>
      <c r="M10" s="2" t="inlineStr">
        <is>
          <t>22/09/2026</t>
        </is>
      </c>
      <c r="N10" s="2" t="inlineStr">
        <is>
          <t>BE1,BE4</t>
        </is>
      </c>
    </row>
    <row r="11" ht="96" customHeight="1">
      <c r="A11" s="2" t="inlineStr">
        <is>
          <t>BE9</t>
        </is>
      </c>
      <c r="B11" s="2" t="inlineStr">
        <is>
          <t>Backend</t>
        </is>
      </c>
      <c r="C11" s="3" t="inlineStr">
        <is>
          <t>Gửi email qua API (Mailpit)</t>
        </is>
      </c>
      <c r="D11" s="3" t="inlineStr">
        <is>
          <t>Server gửi được email (vd xác nhận đơn gia nhập) và thấy trong Mailpit.</t>
        </is>
      </c>
      <c r="E11" s="3" t="inlineStr">
        <is>
          <t>1) Cấu hình SMTP tới Mailpit
2) Hàm gửi mail + template
3) Thử gửi 1 email mẫu</t>
        </is>
      </c>
      <c r="F11" s="3" t="inlineStr">
        <is>
          <t>Module email + 1 email test hiện trong Mailpit (:8025)</t>
        </is>
      </c>
      <c r="G11" s="3" t="inlineStr">
        <is>
          <t>Mailpit đã có qua compose; cấu hình SMTP trong .env</t>
        </is>
      </c>
      <c r="H11" s="2" t="inlineStr">
        <is>
          <t>BE-2</t>
        </is>
      </c>
      <c r="I11" s="2" t="inlineStr">
        <is>
          <t>P2</t>
        </is>
      </c>
      <c r="J11" s="2" t="inlineStr">
        <is>
          <t>Chưa bắt đầu</t>
        </is>
      </c>
      <c r="K11" s="2" t="n">
        <v>0</v>
      </c>
      <c r="L11" s="2" t="inlineStr">
        <is>
          <t>S2: 15–26/09</t>
        </is>
      </c>
      <c r="M11" s="2" t="inlineStr">
        <is>
          <t>22/09/2026</t>
        </is>
      </c>
      <c r="N11" s="2" t="inlineStr">
        <is>
          <t>BE1</t>
        </is>
      </c>
    </row>
    <row r="12" ht="96" customHeight="1">
      <c r="A12" s="2" t="inlineStr">
        <is>
          <t>BE10</t>
        </is>
      </c>
      <c r="B12" s="2" t="inlineStr">
        <is>
          <t>Backend</t>
        </is>
      </c>
      <c r="C12" s="3" t="inlineStr">
        <is>
          <t>API quy trình 'Gia nhập APC'</t>
        </is>
      </c>
      <c r="D12" s="3" t="inlineStr">
        <is>
          <t>Ứng viên nộp đơn qua API; BCN xem/duyệt/từ chối; có gửi email thông báo.</t>
        </is>
      </c>
      <c r="E12" s="3" t="inlineStr">
        <is>
          <t>1) Model đơn (membership_application)
2) POST nộp đơn (công khai)
3) GET danh sách + duyệt/từ chối (có quyền)
4) Gửi email kết quả</t>
        </is>
      </c>
      <c r="F12" s="3" t="inlineStr">
        <is>
          <t>Route /applications + test</t>
        </is>
      </c>
      <c r="G12" s="3" t="inlineStr">
        <is>
          <t>docs/03-user-flows (luồng gia nhập); dùng BE4 + BE9</t>
        </is>
      </c>
      <c r="H12" s="2" t="inlineStr">
        <is>
          <t>BE-2</t>
        </is>
      </c>
      <c r="I12" s="2" t="inlineStr">
        <is>
          <t>P1</t>
        </is>
      </c>
      <c r="J12" s="2" t="inlineStr">
        <is>
          <t>Chưa bắt đầu</t>
        </is>
      </c>
      <c r="K12" s="2" t="n">
        <v>0</v>
      </c>
      <c r="L12" s="2" t="inlineStr">
        <is>
          <t>S2: 15–26/09</t>
        </is>
      </c>
      <c r="M12" s="2" t="inlineStr">
        <is>
          <t>30/09/2026</t>
        </is>
      </c>
      <c r="N12" s="2" t="inlineStr">
        <is>
          <t>BE4,BE9</t>
        </is>
      </c>
    </row>
    <row r="13" ht="96" customHeight="1">
      <c r="A13" s="2" t="inlineStr">
        <is>
          <t>FE1</t>
        </is>
      </c>
      <c r="B13" s="2" t="inlineStr">
        <is>
          <t>Frontend</t>
        </is>
      </c>
      <c r="C13" s="3" t="inlineStr">
        <is>
          <t>Router + layout chung + điều hướng</t>
        </is>
      </c>
      <c r="D13" s="3" t="inlineStr">
        <is>
          <t>Có react-router, layout dùng chung (nav/footer), điều hướng được giữa các route.</t>
        </is>
      </c>
      <c r="E13" s="3" t="inlineStr">
        <is>
          <t>1) Cài react-router
2) Bọc layout (Navbar/Footer tách từ home)
3) Khai báo route rỗng cho từng trang
4) Nav link trỏ đúng</t>
        </is>
      </c>
      <c r="F13" s="3" t="inlineStr">
        <is>
          <t>apps/web: router + layout + các route rỗng</t>
        </is>
      </c>
      <c r="G13" s="3" t="inlineStr">
        <is>
          <t>Navbar/SiteFooter đã có trong pages/home/sections</t>
        </is>
      </c>
      <c r="H13" s="2" t="inlineStr">
        <is>
          <t>FE-1</t>
        </is>
      </c>
      <c r="I13" s="2" t="inlineStr">
        <is>
          <t>P0</t>
        </is>
      </c>
      <c r="J13" s="2" t="inlineStr">
        <is>
          <t>Chưa bắt đầu</t>
        </is>
      </c>
      <c r="K13" s="2" t="n">
        <v>0</v>
      </c>
      <c r="L13" s="2" t="inlineStr">
        <is>
          <t>S1: 01–12/09</t>
        </is>
      </c>
      <c r="M13" s="2" t="inlineStr">
        <is>
          <t>05/09/2026</t>
        </is>
      </c>
      <c r="N13" s="2" t="inlineStr">
        <is>
          <t>-</t>
        </is>
      </c>
    </row>
    <row r="14" ht="96" customHeight="1">
      <c r="A14" s="2" t="inlineStr">
        <is>
          <t>FE2</t>
        </is>
      </c>
      <c r="B14" s="2" t="inlineStr">
        <is>
          <t>Frontend</t>
        </is>
      </c>
      <c r="C14" s="3" t="inlineStr">
        <is>
          <t>Trang Đăng nhập + bảo vệ route</t>
        </is>
      </c>
      <c r="D14" s="3" t="inlineStr">
        <is>
          <t>Đăng nhập được từ UI, lưu phiên, và route quản trị bị chặn nếu chưa đăng nhập.</t>
        </is>
      </c>
      <c r="E14" s="3" t="inlineStr">
        <is>
          <t>1) Form đăng nhập (validate)
2) Gọi API BE3, lưu phiên
3) Route guard theo quyền
4) Xử lý lỗi sai mật khẩu</t>
        </is>
      </c>
      <c r="F14" s="3" t="inlineStr">
        <is>
          <t>Trang /login + guard</t>
        </is>
      </c>
      <c r="G14" s="3" t="inlineStr">
        <is>
          <t>Dùng component Button đã có; gọi /auth từ BE3</t>
        </is>
      </c>
      <c r="H14" s="2" t="inlineStr">
        <is>
          <t>FE-1</t>
        </is>
      </c>
      <c r="I14" s="2" t="inlineStr">
        <is>
          <t>P0</t>
        </is>
      </c>
      <c r="J14" s="2" t="inlineStr">
        <is>
          <t>Chưa bắt đầu</t>
        </is>
      </c>
      <c r="K14" s="2" t="n">
        <v>0</v>
      </c>
      <c r="L14" s="2" t="inlineStr">
        <is>
          <t>S1: 01–12/09</t>
        </is>
      </c>
      <c r="M14" s="2" t="inlineStr">
        <is>
          <t>12/09/2026</t>
        </is>
      </c>
      <c r="N14" s="2" t="inlineStr">
        <is>
          <t>FE1,BE3</t>
        </is>
      </c>
    </row>
    <row r="15" ht="96" customHeight="1">
      <c r="A15" s="2" t="inlineStr">
        <is>
          <t>FE3</t>
        </is>
      </c>
      <c r="B15" s="2" t="inlineStr">
        <is>
          <t>Frontend</t>
        </is>
      </c>
      <c r="C15" s="3" t="inlineStr">
        <is>
          <t>Trang Tin tức (danh sách + chi tiết)</t>
        </is>
      </c>
      <c r="D15" s="3" t="inlineStr">
        <is>
          <t>Xem danh sách tin (phân trang) và mở chi tiết, lấy dữ liệu từ API.</t>
        </is>
      </c>
      <c r="E15" s="3" t="inlineStr">
        <is>
          <t>1) Trang danh sách gọi GET /news
2) Trang chi tiết theo id/slug
3) Trạng thái loading/empty/lỗi</t>
        </is>
      </c>
      <c r="F15" s="3" t="inlineStr">
        <is>
          <t>Route /tin-tuc + /tin-tuc/:id</t>
        </is>
      </c>
      <c r="G15" s="3" t="inlineStr">
        <is>
          <t>Tái dùng card Tin tức ở trang chủ (NewsSection)</t>
        </is>
      </c>
      <c r="H15" s="2" t="inlineStr">
        <is>
          <t>FE-2</t>
        </is>
      </c>
      <c r="I15" s="2" t="inlineStr">
        <is>
          <t>P1</t>
        </is>
      </c>
      <c r="J15" s="2" t="inlineStr">
        <is>
          <t>Chưa bắt đầu</t>
        </is>
      </c>
      <c r="K15" s="2" t="n">
        <v>0</v>
      </c>
      <c r="L15" s="2" t="inlineStr">
        <is>
          <t>S2: 15–26/09</t>
        </is>
      </c>
      <c r="M15" s="2" t="inlineStr">
        <is>
          <t>22/09/2026</t>
        </is>
      </c>
      <c r="N15" s="2" t="inlineStr">
        <is>
          <t>FE1,BE5</t>
        </is>
      </c>
    </row>
    <row r="16" ht="96" customHeight="1">
      <c r="A16" s="2" t="inlineStr">
        <is>
          <t>FE4</t>
        </is>
      </c>
      <c r="B16" s="2" t="inlineStr">
        <is>
          <t>Frontend</t>
        </is>
      </c>
      <c r="C16" s="3" t="inlineStr">
        <is>
          <t>Trang Sự kiện</t>
        </is>
      </c>
      <c r="D16" s="3" t="inlineStr">
        <is>
          <t>Xem danh sách + chi tiết sự kiện từ API.</t>
        </is>
      </c>
      <c r="E16" s="3" t="inlineStr">
        <is>
          <t>1) Danh sách GET /events
2) Chi tiết sự kiện
3) Loading/empty/lỗi</t>
        </is>
      </c>
      <c r="F16" s="3" t="inlineStr">
        <is>
          <t>Route /su-kien + chi tiết</t>
        </is>
      </c>
      <c r="G16" s="3" t="inlineStr">
        <is>
          <t>Tái dùng card Sự kiện (EventsSection)</t>
        </is>
      </c>
      <c r="H16" s="2" t="inlineStr">
        <is>
          <t>FE-2</t>
        </is>
      </c>
      <c r="I16" s="2" t="inlineStr">
        <is>
          <t>P1</t>
        </is>
      </c>
      <c r="J16" s="2" t="inlineStr">
        <is>
          <t>Chưa bắt đầu</t>
        </is>
      </c>
      <c r="K16" s="2" t="n">
        <v>0</v>
      </c>
      <c r="L16" s="2" t="inlineStr">
        <is>
          <t>S2: 15–26/09</t>
        </is>
      </c>
      <c r="M16" s="2" t="inlineStr">
        <is>
          <t>26/09/2026</t>
        </is>
      </c>
      <c r="N16" s="2" t="inlineStr">
        <is>
          <t>FE1,BE6</t>
        </is>
      </c>
    </row>
    <row r="17" ht="96" customHeight="1">
      <c r="A17" s="2" t="inlineStr">
        <is>
          <t>FE5</t>
        </is>
      </c>
      <c r="B17" s="2" t="inlineStr">
        <is>
          <t>Frontend</t>
        </is>
      </c>
      <c r="C17" s="3" t="inlineStr">
        <is>
          <t>Trang Dự án</t>
        </is>
      </c>
      <c r="D17" s="3" t="inlineStr">
        <is>
          <t>Xem danh sách + chi tiết dự án từ API.</t>
        </is>
      </c>
      <c r="E17" s="3" t="inlineStr">
        <is>
          <t>1) Danh sách GET /projects
2) Chi tiết dự án
3) Loading/empty/lỗi</t>
        </is>
      </c>
      <c r="F17" s="3" t="inlineStr">
        <is>
          <t>Route /du-an + chi tiết</t>
        </is>
      </c>
      <c r="G17" s="3" t="inlineStr">
        <is>
          <t>Tái dùng bố cục bento ở ProjectsSection</t>
        </is>
      </c>
      <c r="H17" s="2" t="inlineStr">
        <is>
          <t>FE-3</t>
        </is>
      </c>
      <c r="I17" s="2" t="inlineStr">
        <is>
          <t>P1</t>
        </is>
      </c>
      <c r="J17" s="2" t="inlineStr">
        <is>
          <t>Chưa bắt đầu</t>
        </is>
      </c>
      <c r="K17" s="2" t="n">
        <v>0</v>
      </c>
      <c r="L17" s="2" t="inlineStr">
        <is>
          <t>S3: 29/09–10/10</t>
        </is>
      </c>
      <c r="M17" s="2" t="inlineStr">
        <is>
          <t>30/09/2026</t>
        </is>
      </c>
      <c r="N17" s="2" t="inlineStr">
        <is>
          <t>FE1,BE7</t>
        </is>
      </c>
    </row>
    <row r="18" ht="96" customHeight="1">
      <c r="A18" s="2" t="inlineStr">
        <is>
          <t>FE6</t>
        </is>
      </c>
      <c r="B18" s="2" t="inlineStr">
        <is>
          <t>Frontend</t>
        </is>
      </c>
      <c r="C18" s="3" t="inlineStr">
        <is>
          <t>Trang + form 'Gia nhập APC'</t>
        </is>
      </c>
      <c r="D18" s="3" t="inlineStr">
        <is>
          <t>Ứng viên điền và nộp đơn gia nhập; hiện xác nhận sau khi nộp.</t>
        </is>
      </c>
      <c r="E18" s="3" t="inlineStr">
        <is>
          <t>1) Form nhiều bước (validate từng field)
2) Gọi POST /applications
3) Màn hình xác nhận + xử lý lỗi</t>
        </is>
      </c>
      <c r="F18" s="3" t="inlineStr">
        <is>
          <t>Route /gia-nhap + form</t>
        </is>
      </c>
      <c r="G18" s="3" t="inlineStr">
        <is>
          <t>docs/03-user-flows; validate kỹ ở ranh giới nhập liệu</t>
        </is>
      </c>
      <c r="H18" s="2" t="inlineStr">
        <is>
          <t>FE-3</t>
        </is>
      </c>
      <c r="I18" s="2" t="inlineStr">
        <is>
          <t>P1</t>
        </is>
      </c>
      <c r="J18" s="2" t="inlineStr">
        <is>
          <t>Chưa bắt đầu</t>
        </is>
      </c>
      <c r="K18" s="2" t="n">
        <v>0</v>
      </c>
      <c r="L18" s="2" t="inlineStr">
        <is>
          <t>S3: 29/09–10/10</t>
        </is>
      </c>
      <c r="M18" s="2" t="inlineStr">
        <is>
          <t>03/10/2026</t>
        </is>
      </c>
      <c r="N18" s="2" t="inlineStr">
        <is>
          <t>FE1,BE10</t>
        </is>
      </c>
    </row>
    <row r="19" ht="96" customHeight="1">
      <c r="A19" s="2" t="inlineStr">
        <is>
          <t>FE7</t>
        </is>
      </c>
      <c r="B19" s="2" t="inlineStr">
        <is>
          <t>Frontend</t>
        </is>
      </c>
      <c r="C19" s="3" t="inlineStr">
        <is>
          <t>CMS admin: quản trị nội dung</t>
        </is>
      </c>
      <c r="D19" s="3" t="inlineStr">
        <is>
          <t>Người có quyền tạo/sửa/xoá tin/sự kiện/dự án và duyệt đơn gia nhập qua giao diện.</t>
        </is>
      </c>
      <c r="E19" s="3" t="inlineStr">
        <is>
          <t>1) Layout admin sau đăng nhập
2) Bảng danh sách + form tạo/sửa cho từng loại
3) Duyệt/từ chối đơn
4) Upload ảnh (BE8)</t>
        </is>
      </c>
      <c r="F19" s="3" t="inlineStr">
        <is>
          <t>Khu vực /admin + các trang quản trị</t>
        </is>
      </c>
      <c r="G19" s="3" t="inlineStr">
        <is>
          <t>Cần FE2 (auth) + các API BE5/6/7/BE10; upload dùng BE8</t>
        </is>
      </c>
      <c r="H19" s="2" t="inlineStr">
        <is>
          <t>FE-4</t>
        </is>
      </c>
      <c r="I19" s="2" t="inlineStr">
        <is>
          <t>P1</t>
        </is>
      </c>
      <c r="J19" s="2" t="inlineStr">
        <is>
          <t>Chưa bắt đầu</t>
        </is>
      </c>
      <c r="K19" s="2" t="n">
        <v>0</v>
      </c>
      <c r="L19" s="2" t="inlineStr">
        <is>
          <t>S3: 29/09–10/10</t>
        </is>
      </c>
      <c r="M19" s="2" t="inlineStr">
        <is>
          <t>10/10/2026</t>
        </is>
      </c>
      <c r="N19" s="2" t="inlineStr">
        <is>
          <t>FE2,BE5,BE6,BE7</t>
        </is>
      </c>
    </row>
    <row r="20" ht="96" customHeight="1">
      <c r="A20" s="2" t="inlineStr">
        <is>
          <t>FE8</t>
        </is>
      </c>
      <c r="B20" s="2" t="inlineStr">
        <is>
          <t>Frontend</t>
        </is>
      </c>
      <c r="C20" s="3" t="inlineStr">
        <is>
          <t>Automated test frontend</t>
        </is>
      </c>
      <c r="D20" s="3" t="inlineStr">
        <is>
          <t>Có test tự động cho các phần logic/UI quan trọng; chạy trong CI.</t>
        </is>
      </c>
      <c r="E20" s="3" t="inlineStr">
        <is>
          <t>1) Cấu hình Vitest + React Testing Library
2) Test component + luồng chính (đăng nhập, form)
3) Đưa vào 'pnpm test'</t>
        </is>
      </c>
      <c r="F20" s="3" t="inlineStr">
        <is>
          <t>Bộ test trong apps/web + chạy trong CI</t>
        </is>
      </c>
      <c r="G20" s="3" t="inlineStr">
        <is>
          <t>Vitest đã có; ưu tiên test form + guard</t>
        </is>
      </c>
      <c r="H20" s="2" t="inlineStr">
        <is>
          <t>FE-4</t>
        </is>
      </c>
      <c r="I20" s="2" t="inlineStr">
        <is>
          <t>P2</t>
        </is>
      </c>
      <c r="J20" s="2" t="inlineStr">
        <is>
          <t>Chưa bắt đầu</t>
        </is>
      </c>
      <c r="K20" s="2" t="n">
        <v>0</v>
      </c>
      <c r="L20" s="2" t="inlineStr">
        <is>
          <t>Liên tục</t>
        </is>
      </c>
      <c r="M20" s="2" t="inlineStr">
        <is>
          <t>10/10/2026</t>
        </is>
      </c>
      <c r="N20" s="2" t="inlineStr">
        <is>
          <t>FE1</t>
        </is>
      </c>
    </row>
    <row r="21" ht="96" customHeight="1">
      <c r="A21" s="2" t="inlineStr">
        <is>
          <t>FE9</t>
        </is>
      </c>
      <c r="B21" s="2" t="inlineStr">
        <is>
          <t>Frontend</t>
        </is>
      </c>
      <c r="C21" s="3" t="inlineStr">
        <is>
          <t>Component tái dùng / tokens chung</t>
        </is>
      </c>
      <c r="D21" s="3" t="inlineStr">
        <is>
          <t>Gom các UI dùng lại (Button, Eyebrow, Card, chip...) thành thư viện nội bộ nhất quán.</t>
        </is>
      </c>
      <c r="E21" s="3" t="inlineStr">
        <is>
          <t>1) Rà soát UI lặp lại
2) Tách thành component chung
3) Thay thế nơi dùng</t>
        </is>
      </c>
      <c r="F21" s="3" t="inlineStr">
        <is>
          <t>Thư mục components dùng chung + thay thế dần</t>
        </is>
      </c>
      <c r="G21" s="3" t="inlineStr">
        <is>
          <t>Đã có Button/Eyebrow/SectionSeam trong pages/home/sections</t>
        </is>
      </c>
      <c r="H21" s="2" t="inlineStr">
        <is>
          <t>FE-1</t>
        </is>
      </c>
      <c r="I21" s="2" t="inlineStr">
        <is>
          <t>P2</t>
        </is>
      </c>
      <c r="J21" s="2" t="inlineStr">
        <is>
          <t>Chưa bắt đầu</t>
        </is>
      </c>
      <c r="K21" s="2" t="n">
        <v>0</v>
      </c>
      <c r="L21" s="2" t="inlineStr">
        <is>
          <t>Liên tục</t>
        </is>
      </c>
      <c r="M21" s="2" t="inlineStr">
        <is>
          <t>10/10/2026</t>
        </is>
      </c>
      <c r="N21" s="2" t="inlineStr">
        <is>
          <t>-</t>
        </is>
      </c>
    </row>
    <row r="22" ht="96" customHeight="1">
      <c r="A22" s="2" t="inlineStr">
        <is>
          <t>IN1</t>
        </is>
      </c>
      <c r="B22" s="2" t="inlineStr">
        <is>
          <t>Hạ tầng/QA</t>
        </is>
      </c>
      <c r="C22" s="3" t="inlineStr">
        <is>
          <t>Hoàn thiện CI (gate PR)</t>
        </is>
      </c>
      <c r="D22" s="3" t="inlineStr">
        <is>
          <t>Mọi PR phải chạy lint + type-check + test + build; đỏ thì không cho merge.</t>
        </is>
      </c>
      <c r="E22" s="3" t="inlineStr">
        <is>
          <t>1) Rà soát .github/workflows/ci.yml
2) Bật chạy 'pnpm check' trên PR
3) Bật branch protection yêu cầu CI xanh</t>
        </is>
      </c>
      <c r="F22" s="3" t="inlineStr">
        <is>
          <t>CI cập nhật + quy tắc bảo vệ nhánh main</t>
        </is>
      </c>
      <c r="G22" s="3" t="inlineStr">
        <is>
          <t>.github/workflows/ci.yml đã có sẵn</t>
        </is>
      </c>
      <c r="H22" s="2" t="inlineStr">
        <is>
          <t>OP-1</t>
        </is>
      </c>
      <c r="I22" s="2" t="inlineStr">
        <is>
          <t>P1</t>
        </is>
      </c>
      <c r="J22" s="2" t="inlineStr">
        <is>
          <t>Chưa bắt đầu</t>
        </is>
      </c>
      <c r="K22" s="2" t="n">
        <v>0</v>
      </c>
      <c r="L22" s="2" t="inlineStr">
        <is>
          <t>S1: 01–12/09</t>
        </is>
      </c>
      <c r="M22" s="2" t="inlineStr">
        <is>
          <t>05/09/2026</t>
        </is>
      </c>
      <c r="N22" s="2" t="inlineStr">
        <is>
          <t>-</t>
        </is>
      </c>
    </row>
    <row r="23" ht="96" customHeight="1">
      <c r="A23" s="2" t="inlineStr">
        <is>
          <t>IN2</t>
        </is>
      </c>
      <c r="B23" s="2" t="inlineStr">
        <is>
          <t>Hạ tầng/QA</t>
        </is>
      </c>
      <c r="C23" s="3" t="inlineStr">
        <is>
          <t>Staging + VPS + domain + HTTPS</t>
        </is>
      </c>
      <c r="D23" s="3" t="inlineStr">
        <is>
          <t>Có môi trường staging chạy web+api trên VPS, domain thật, HTTPS.</t>
        </is>
      </c>
      <c r="E23" s="3" t="inlineStr">
        <is>
          <t>1) Chọn VPS/cloud
2) Reverse proxy + TLS
3) Deploy web+api+db
4) Biến môi trường staging riêng</t>
        </is>
      </c>
      <c r="F23" s="3" t="inlineStr">
        <is>
          <t>Môi trường staging truy cập được qua HTTPS + hướng dẫn deploy</t>
        </is>
      </c>
      <c r="G23" s="3" t="inlineStr">
        <is>
          <t>Không dùng credential local cho staging (docs/06 mục 4)</t>
        </is>
      </c>
      <c r="H23" s="2" t="inlineStr">
        <is>
          <t>OP-1</t>
        </is>
      </c>
      <c r="I23" s="2" t="inlineStr">
        <is>
          <t>P2</t>
        </is>
      </c>
      <c r="J23" s="2" t="inlineStr">
        <is>
          <t>Chưa bắt đầu</t>
        </is>
      </c>
      <c r="K23" s="2" t="n">
        <v>0</v>
      </c>
      <c r="L23" s="2" t="inlineStr">
        <is>
          <t>S3: 29/09–10/10</t>
        </is>
      </c>
      <c r="M23" s="2" t="inlineStr">
        <is>
          <t>10/10/2026</t>
        </is>
      </c>
      <c r="N23" s="2" t="inlineStr">
        <is>
          <t>BE1,FE1</t>
        </is>
      </c>
    </row>
    <row r="24" ht="96" customHeight="1">
      <c r="A24" s="2" t="inlineStr">
        <is>
          <t>IN3</t>
        </is>
      </c>
      <c r="B24" s="2" t="inlineStr">
        <is>
          <t>Hạ tầng/QA</t>
        </is>
      </c>
      <c r="C24" s="3" t="inlineStr">
        <is>
          <t>Backup/restore Postgres + MinIO</t>
        </is>
      </c>
      <c r="D24" s="3" t="inlineStr">
        <is>
          <t>Có quy trình sao lưu và phục hồi dữ liệu, đã thử restore thật.</t>
        </is>
      </c>
      <c r="E24" s="3" t="inlineStr">
        <is>
          <t>1) Script backup định kỳ DB + MinIO
2) Thử restore ra môi trường sạch
3) Ghi tài liệu</t>
        </is>
      </c>
      <c r="F24" s="3" t="inlineStr">
        <is>
          <t>Script backup + tài liệu restore đã kiểm chứng</t>
        </is>
      </c>
      <c r="G24" s="3" t="inlineStr">
        <is>
          <t>Chỉ làm sau khi có staging (IN2)</t>
        </is>
      </c>
      <c r="H24" s="2" t="inlineStr">
        <is>
          <t>OP-1</t>
        </is>
      </c>
      <c r="I24" s="2" t="inlineStr">
        <is>
          <t>P2</t>
        </is>
      </c>
      <c r="J24" s="2" t="inlineStr">
        <is>
          <t>Chưa bắt đầu</t>
        </is>
      </c>
      <c r="K24" s="2" t="n">
        <v>0</v>
      </c>
      <c r="L24" s="2" t="inlineStr">
        <is>
          <t>Chốt: 13–15/10</t>
        </is>
      </c>
      <c r="M24" s="2" t="inlineStr">
        <is>
          <t>15/10/2026</t>
        </is>
      </c>
      <c r="N24" s="2" t="inlineStr">
        <is>
          <t>IN2</t>
        </is>
      </c>
    </row>
    <row r="25" ht="96" customHeight="1">
      <c r="A25" s="2" t="inlineStr">
        <is>
          <t>IN4</t>
        </is>
      </c>
      <c r="B25" s="2" t="inlineStr">
        <is>
          <t>Hạ tầng/QA</t>
        </is>
      </c>
      <c r="C25" s="3" t="inlineStr">
        <is>
          <t>Checklist QA + E2E cơ bản</t>
        </is>
      </c>
      <c r="D25" s="3" t="inlineStr">
        <is>
          <t>Có bộ kiểm thử tay theo checklist + vài kịch bản E2E cho luồng chính.</t>
        </is>
      </c>
      <c r="E25" s="3" t="inlineStr">
        <is>
          <t>1) Viết checklist QA theo user flow
2) E2E: đăng nhập, tạo tin, nộp đơn
3) Chạy trước mỗi lần bàn giao</t>
        </is>
      </c>
      <c r="F25" s="3" t="inlineStr">
        <is>
          <t>Checklist QA + script E2E</t>
        </is>
      </c>
      <c r="G25" s="3" t="inlineStr">
        <is>
          <t>docs/03-user-flows; phối hợp với FE8</t>
        </is>
      </c>
      <c r="H25" s="2" t="inlineStr">
        <is>
          <t>OP-2</t>
        </is>
      </c>
      <c r="I25" s="2" t="inlineStr">
        <is>
          <t>P2</t>
        </is>
      </c>
      <c r="J25" s="2" t="inlineStr">
        <is>
          <t>Chưa bắt đầu</t>
        </is>
      </c>
      <c r="K25" s="2" t="n">
        <v>0</v>
      </c>
      <c r="L25" s="2" t="inlineStr">
        <is>
          <t>Chốt: 13–15/10</t>
        </is>
      </c>
      <c r="M25" s="2" t="inlineStr">
        <is>
          <t>15/10/2026</t>
        </is>
      </c>
      <c r="N25" s="2" t="inlineStr">
        <is>
          <t>-</t>
        </is>
      </c>
    </row>
    <row r="26" ht="96" customHeight="1">
      <c r="A26" s="2" t="inlineStr">
        <is>
          <t>CT1</t>
        </is>
      </c>
      <c r="B26" s="2" t="inlineStr">
        <is>
          <t>Nội dung</t>
        </is>
      </c>
      <c r="C26" s="3" t="inlineStr">
        <is>
          <t>APC duyệt nội dung trang chủ (bản redesign)</t>
        </is>
      </c>
      <c r="D26" s="3" t="inlineStr">
        <is>
          <t>APC xác nhận nội dung/hình ảnh trang chủ bản hiện tại được phép công bố.</t>
        </is>
      </c>
      <c r="E26" s="3" t="inlineStr">
        <is>
          <t>1) Trình bản redesign cho BCN
2) Ghi nhận chỉnh sửa
3) Nhận phê duyệt bằng văn bản</t>
        </is>
      </c>
      <c r="F26" s="3" t="inlineStr">
        <is>
          <t>Biên bản/xác nhận duyệt của APC</t>
        </is>
      </c>
      <c r="G26" s="3" t="inlineStr">
        <is>
          <t>Chặn công bố; trang đã khác bản gốc (docs/08 mục 2)</t>
        </is>
      </c>
      <c r="H26" s="2" t="inlineStr">
        <is>
          <t>CLB/APC</t>
        </is>
      </c>
      <c r="I26" s="2" t="inlineStr">
        <is>
          <t>P0</t>
        </is>
      </c>
      <c r="J26" s="2" t="inlineStr">
        <is>
          <t>Chưa bắt đầu</t>
        </is>
      </c>
      <c r="K26" s="2" t="n">
        <v>0</v>
      </c>
      <c r="L26" s="2" t="inlineStr">
        <is>
          <t>S1: 01–12/09</t>
        </is>
      </c>
      <c r="M26" s="2" t="inlineStr">
        <is>
          <t>05/09/2026</t>
        </is>
      </c>
      <c r="N26" s="2" t="inlineStr">
        <is>
          <t>-</t>
        </is>
      </c>
    </row>
    <row r="27" ht="96" customHeight="1">
      <c r="A27" s="2" t="inlineStr">
        <is>
          <t>CT2</t>
        </is>
      </c>
      <c r="B27" s="2" t="inlineStr">
        <is>
          <t>Nội dung</t>
        </is>
      </c>
      <c r="C27" s="3" t="inlineStr">
        <is>
          <t>Thay nội dung mẫu bằng dữ liệu thật</t>
        </is>
      </c>
      <c r="D27" s="3" t="inlineStr">
        <is>
          <t>Toàn bộ tin/sự kiện/dự án/chỉ số CLB/đối tác là dữ liệu thật, không còn placeholder.</t>
        </is>
      </c>
      <c r="E27" s="3" t="inlineStr">
        <is>
          <t>1) Thu thập nội dung thật từ các ban
2) Nhập qua CMS (FE7)
3) Rà soát lại toàn trang</t>
        </is>
      </c>
      <c r="F27" s="3" t="inlineStr">
        <is>
          <t>Nội dung thật trên site</t>
        </is>
      </c>
      <c r="G27" s="3" t="inlineStr">
        <is>
          <t>Chỉ số CLB ở Hero đang là số mẫu — cần số thật</t>
        </is>
      </c>
      <c r="H27" s="2" t="inlineStr">
        <is>
          <t>OP-2</t>
        </is>
      </c>
      <c r="I27" s="2" t="inlineStr">
        <is>
          <t>P1</t>
        </is>
      </c>
      <c r="J27" s="2" t="inlineStr">
        <is>
          <t>Chưa bắt đầu</t>
        </is>
      </c>
      <c r="K27" s="2" t="n">
        <v>0</v>
      </c>
      <c r="L27" s="2" t="inlineStr">
        <is>
          <t>S3: 29/09–10/10</t>
        </is>
      </c>
      <c r="M27" s="2" t="inlineStr">
        <is>
          <t>13/10/2026</t>
        </is>
      </c>
      <c r="N27" s="2" t="inlineStr">
        <is>
          <t>CT1</t>
        </is>
      </c>
    </row>
    <row r="28" ht="96" customHeight="1">
      <c r="A28" s="2" t="inlineStr">
        <is>
          <t>DOC1</t>
        </is>
      </c>
      <c r="B28" s="2" t="inlineStr">
        <is>
          <t>Docs</t>
        </is>
      </c>
      <c r="C28" s="3" t="inlineStr">
        <is>
          <t>Giữ docs khớp khi thêm route/tính năng</t>
        </is>
      </c>
      <c r="D28" s="3" t="inlineStr">
        <is>
          <t>Mỗi khi thêm route/tính năng, cập nhật Sitemap + Feature-catalog + Architecture.</t>
        </is>
      </c>
      <c r="E28" s="3" t="inlineStr">
        <is>
          <t>1) Sau mỗi PR lớn, sửa doc liên quan
2) Mỗi route mới map vào Sitemap/User Flow</t>
        </is>
      </c>
      <c r="F28" s="3" t="inlineStr">
        <is>
          <t>Docs luôn khớp mã nguồn</t>
        </is>
      </c>
      <c r="G28" s="3" t="inlineStr">
        <is>
          <t>docs/06 đã cập nhật cho homepage component hoá</t>
        </is>
      </c>
      <c r="H28" s="2" t="inlineStr">
        <is>
          <t>OP-2</t>
        </is>
      </c>
      <c r="I28" s="2" t="inlineStr">
        <is>
          <t>P2</t>
        </is>
      </c>
      <c r="J28" s="2" t="inlineStr">
        <is>
          <t>Chưa bắt đầu</t>
        </is>
      </c>
      <c r="K28" s="2" t="n">
        <v>0</v>
      </c>
      <c r="L28" s="2" t="inlineStr">
        <is>
          <t>Liên tục</t>
        </is>
      </c>
      <c r="M28" s="2" t="inlineStr">
        <is>
          <t>15/10/2026</t>
        </is>
      </c>
      <c r="N28" s="2" t="inlineStr">
        <is>
          <t>-</t>
        </is>
      </c>
    </row>
  </sheetData>
  <conditionalFormatting sqref="J2:J2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I2:I28">
    <cfRule type="cellIs" priority="6" operator="equal" dxfId="5">
      <formula>"P0"</formula>
    </cfRule>
  </conditionalFormatting>
  <dataValidations count="2">
    <dataValidation sqref="I2:I28" showDropDown="0" showInputMessage="0" showErrorMessage="0" allowBlank="1" type="list">
      <formula1>"P0,P1,P2,P3"</formula1>
    </dataValidation>
    <dataValidation sqref="J2:J2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4" customWidth="1" min="3" max="3"/>
    <col width="10" customWidth="1" min="4" max="4"/>
    <col width="11" customWidth="1" min="5" max="5"/>
    <col width="10" customWidth="1" min="6" max="6"/>
  </cols>
  <sheetData>
    <row r="1" ht="24" customHeight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13" t="inlineStr">
        <is>
          <t>BE1</t>
        </is>
      </c>
      <c r="B2" s="14" t="inlineStr">
        <is>
          <t>DB schema + migration</t>
        </is>
      </c>
      <c r="C2" s="14" t="inlineStr">
        <is>
          <t>Chốt ORM/migration (Prisma vs Drizzle) với nhóm</t>
        </is>
      </c>
      <c r="D2" s="13" t="inlineStr">
        <is>
          <t>BE-1</t>
        </is>
      </c>
      <c r="E2" s="13" t="inlineStr">
        <is>
          <t>2h</t>
        </is>
      </c>
      <c r="F2" s="13" t="inlineStr"/>
    </row>
    <row r="3">
      <c r="A3" s="13" t="inlineStr">
        <is>
          <t>BE1</t>
        </is>
      </c>
      <c r="B3" s="14" t="inlineStr">
        <is>
          <t>DB schema + migration</t>
        </is>
      </c>
      <c r="C3" s="14" t="inlineStr">
        <is>
          <t>Kết nối Postgres từ apps/api qua DATABASE_URL (.env)</t>
        </is>
      </c>
      <c r="D3" s="13" t="inlineStr">
        <is>
          <t>BE-1</t>
        </is>
      </c>
      <c r="E3" s="13" t="inlineStr">
        <is>
          <t>2h</t>
        </is>
      </c>
      <c r="F3" s="13" t="inlineStr"/>
    </row>
    <row r="4">
      <c r="A4" s="13" t="inlineStr">
        <is>
          <t>BE1</t>
        </is>
      </c>
      <c r="B4" s="14" t="inlineStr">
        <is>
          <t>DB schema + migration</t>
        </is>
      </c>
      <c r="C4" s="14" t="inlineStr">
        <is>
          <t>Bảng user + role</t>
        </is>
      </c>
      <c r="D4" s="13" t="inlineStr">
        <is>
          <t>BE-1</t>
        </is>
      </c>
      <c r="E4" s="13" t="inlineStr">
        <is>
          <t>3h</t>
        </is>
      </c>
      <c r="F4" s="13" t="inlineStr"/>
    </row>
    <row r="5">
      <c r="A5" s="13" t="inlineStr">
        <is>
          <t>BE1</t>
        </is>
      </c>
      <c r="B5" s="14" t="inlineStr">
        <is>
          <t>DB schema + migration</t>
        </is>
      </c>
      <c r="C5" s="14" t="inlineStr">
        <is>
          <t>Bảng news, event, project</t>
        </is>
      </c>
      <c r="D5" s="13" t="inlineStr">
        <is>
          <t>BE-1</t>
        </is>
      </c>
      <c r="E5" s="13" t="inlineStr">
        <is>
          <t>4h</t>
        </is>
      </c>
      <c r="F5" s="13" t="inlineStr"/>
    </row>
    <row r="6">
      <c r="A6" s="13" t="inlineStr">
        <is>
          <t>BE1</t>
        </is>
      </c>
      <c r="B6" s="14" t="inlineStr">
        <is>
          <t>DB schema + migration</t>
        </is>
      </c>
      <c r="C6" s="14" t="inlineStr">
        <is>
          <t>Bảng membership_application</t>
        </is>
      </c>
      <c r="D6" s="13" t="inlineStr">
        <is>
          <t>BE-1</t>
        </is>
      </c>
      <c r="E6" s="13" t="inlineStr">
        <is>
          <t>2h</t>
        </is>
      </c>
      <c r="F6" s="13" t="inlineStr"/>
    </row>
    <row r="7">
      <c r="A7" s="13" t="inlineStr">
        <is>
          <t>BE1</t>
        </is>
      </c>
      <c r="B7" s="14" t="inlineStr">
        <is>
          <t>DB schema + migration</t>
        </is>
      </c>
      <c r="C7" s="14" t="inlineStr">
        <is>
          <t>Viết + chạy migration khởi tạo trên DB local</t>
        </is>
      </c>
      <c r="D7" s="13" t="inlineStr">
        <is>
          <t>BE-1</t>
        </is>
      </c>
      <c r="E7" s="13" t="inlineStr">
        <is>
          <t>3h</t>
        </is>
      </c>
      <c r="F7" s="13" t="inlineStr"/>
    </row>
    <row r="8">
      <c r="A8" s="13" t="inlineStr">
        <is>
          <t>BE1</t>
        </is>
      </c>
      <c r="B8" s="14" t="inlineStr">
        <is>
          <t>DB schema + migration</t>
        </is>
      </c>
      <c r="C8" s="14" t="inlineStr">
        <is>
          <t>Thêm lệnh db:migrate vào package.json</t>
        </is>
      </c>
      <c r="D8" s="13" t="inlineStr">
        <is>
          <t>BE-1</t>
        </is>
      </c>
      <c r="E8" s="13" t="inlineStr">
        <is>
          <t>1h</t>
        </is>
      </c>
      <c r="F8" s="13" t="inlineStr"/>
    </row>
    <row r="9">
      <c r="A9" s="13" t="inlineStr">
        <is>
          <t>BE1</t>
        </is>
      </c>
      <c r="B9" s="14" t="inlineStr">
        <is>
          <t>DB schema + migration</t>
        </is>
      </c>
      <c r="C9" s="14" t="inlineStr">
        <is>
          <t>Vẽ ERD ngắn chia sẻ nhóm</t>
        </is>
      </c>
      <c r="D9" s="13" t="inlineStr">
        <is>
          <t>BE-1</t>
        </is>
      </c>
      <c r="E9" s="13" t="inlineStr">
        <is>
          <t>2h</t>
        </is>
      </c>
      <c r="F9" s="13" t="inlineStr"/>
    </row>
    <row r="10">
      <c r="A10" s="2" t="inlineStr">
        <is>
          <t>BE2</t>
        </is>
      </c>
      <c r="B10" s="3" t="inlineStr">
        <is>
          <t>Seed dữ liệu</t>
        </is>
      </c>
      <c r="C10" s="3" t="inlineStr">
        <is>
          <t>Seed 1 admin (mật khẩu lấy từ .env)</t>
        </is>
      </c>
      <c r="D10" s="2" t="inlineStr">
        <is>
          <t>BE-1</t>
        </is>
      </c>
      <c r="E10" s="2" t="inlineStr">
        <is>
          <t>1h</t>
        </is>
      </c>
      <c r="F10" s="2" t="inlineStr"/>
    </row>
    <row r="11">
      <c r="A11" s="2" t="inlineStr">
        <is>
          <t>BE2</t>
        </is>
      </c>
      <c r="B11" s="3" t="inlineStr">
        <is>
          <t>Seed dữ liệu</t>
        </is>
      </c>
      <c r="C11" s="3" t="inlineStr">
        <is>
          <t>Seed vài user các vai trò</t>
        </is>
      </c>
      <c r="D11" s="2" t="inlineStr">
        <is>
          <t>BE-1</t>
        </is>
      </c>
      <c r="E11" s="2" t="inlineStr">
        <is>
          <t>1h</t>
        </is>
      </c>
      <c r="F11" s="2" t="inlineStr"/>
    </row>
    <row r="12">
      <c r="A12" s="2" t="inlineStr">
        <is>
          <t>BE2</t>
        </is>
      </c>
      <c r="B12" s="3" t="inlineStr">
        <is>
          <t>Seed dữ liệu</t>
        </is>
      </c>
      <c r="C12" s="3" t="inlineStr">
        <is>
          <t>Seed tin/sự kiện/dự án khớp trang chủ</t>
        </is>
      </c>
      <c r="D12" s="2" t="inlineStr">
        <is>
          <t>BE-1</t>
        </is>
      </c>
      <c r="E12" s="2" t="inlineStr">
        <is>
          <t>2h</t>
        </is>
      </c>
      <c r="F12" s="2" t="inlineStr"/>
    </row>
    <row r="13">
      <c r="A13" s="2" t="inlineStr">
        <is>
          <t>BE2</t>
        </is>
      </c>
      <c r="B13" s="3" t="inlineStr">
        <is>
          <t>Seed dữ liệu</t>
        </is>
      </c>
      <c r="C13" s="3" t="inlineStr">
        <is>
          <t>Thêm lệnh db:seed + chạy thử trên DB sạch</t>
        </is>
      </c>
      <c r="D13" s="2" t="inlineStr">
        <is>
          <t>BE-1</t>
        </is>
      </c>
      <c r="E13" s="2" t="inlineStr">
        <is>
          <t>1h</t>
        </is>
      </c>
      <c r="F13" s="2" t="inlineStr"/>
    </row>
    <row r="14">
      <c r="A14" s="13" t="inlineStr">
        <is>
          <t>BE3</t>
        </is>
      </c>
      <c r="B14" s="14" t="inlineStr">
        <is>
          <t>Đăng nhập + session</t>
        </is>
      </c>
      <c r="C14" s="14" t="inlineStr">
        <is>
          <t>POST /auth/login + validate bằng Zod</t>
        </is>
      </c>
      <c r="D14" s="13" t="inlineStr">
        <is>
          <t>BE-2</t>
        </is>
      </c>
      <c r="E14" s="13" t="inlineStr">
        <is>
          <t>3h</t>
        </is>
      </c>
      <c r="F14" s="13" t="inlineStr"/>
    </row>
    <row r="15">
      <c r="A15" s="13" t="inlineStr">
        <is>
          <t>BE3</t>
        </is>
      </c>
      <c r="B15" s="14" t="inlineStr">
        <is>
          <t>Đăng nhập + session</t>
        </is>
      </c>
      <c r="C15" s="14" t="inlineStr">
        <is>
          <t>Hash + verify mật khẩu (argon2/bcrypt)</t>
        </is>
      </c>
      <c r="D15" s="13" t="inlineStr">
        <is>
          <t>BE-2</t>
        </is>
      </c>
      <c r="E15" s="13" t="inlineStr">
        <is>
          <t>2h</t>
        </is>
      </c>
      <c r="F15" s="13" t="inlineStr"/>
    </row>
    <row r="16">
      <c r="A16" s="13" t="inlineStr">
        <is>
          <t>BE3</t>
        </is>
      </c>
      <c r="B16" s="14" t="inlineStr">
        <is>
          <t>Đăng nhập + session</t>
        </is>
      </c>
      <c r="C16" s="14" t="inlineStr">
        <is>
          <t>Phát session/JWT + set cookie</t>
        </is>
      </c>
      <c r="D16" s="13" t="inlineStr">
        <is>
          <t>BE-2</t>
        </is>
      </c>
      <c r="E16" s="13" t="inlineStr">
        <is>
          <t>3h</t>
        </is>
      </c>
      <c r="F16" s="13" t="inlineStr"/>
    </row>
    <row r="17">
      <c r="A17" s="13" t="inlineStr">
        <is>
          <t>BE3</t>
        </is>
      </c>
      <c r="B17" s="14" t="inlineStr">
        <is>
          <t>Đăng nhập + session</t>
        </is>
      </c>
      <c r="C17" s="14" t="inlineStr">
        <is>
          <t>Endpoint /auth/me + /auth/logout</t>
        </is>
      </c>
      <c r="D17" s="13" t="inlineStr">
        <is>
          <t>BE-2</t>
        </is>
      </c>
      <c r="E17" s="13" t="inlineStr">
        <is>
          <t>2h</t>
        </is>
      </c>
      <c r="F17" s="13" t="inlineStr"/>
    </row>
    <row r="18">
      <c r="A18" s="13" t="inlineStr">
        <is>
          <t>BE3</t>
        </is>
      </c>
      <c r="B18" s="14" t="inlineStr">
        <is>
          <t>Đăng nhập + session</t>
        </is>
      </c>
      <c r="C18" s="14" t="inlineStr">
        <is>
          <t>Middleware xác thực request</t>
        </is>
      </c>
      <c r="D18" s="13" t="inlineStr">
        <is>
          <t>BE-2</t>
        </is>
      </c>
      <c r="E18" s="13" t="inlineStr">
        <is>
          <t>2h</t>
        </is>
      </c>
      <c r="F18" s="13" t="inlineStr"/>
    </row>
    <row r="19">
      <c r="A19" s="13" t="inlineStr">
        <is>
          <t>BE3</t>
        </is>
      </c>
      <c r="B19" s="14" t="inlineStr">
        <is>
          <t>Đăng nhập + session</t>
        </is>
      </c>
      <c r="C19" s="14" t="inlineStr">
        <is>
          <t>Test đăng nhập đúng/sai</t>
        </is>
      </c>
      <c r="D19" s="13" t="inlineStr">
        <is>
          <t>BE-2</t>
        </is>
      </c>
      <c r="E19" s="13" t="inlineStr">
        <is>
          <t>2h</t>
        </is>
      </c>
      <c r="F19" s="13" t="inlineStr"/>
    </row>
    <row r="20">
      <c r="A20" s="2" t="inlineStr">
        <is>
          <t>FE1</t>
        </is>
      </c>
      <c r="B20" s="3" t="inlineStr">
        <is>
          <t>Router + layout</t>
        </is>
      </c>
      <c r="C20" s="3" t="inlineStr">
        <is>
          <t>Cài react-router-dom</t>
        </is>
      </c>
      <c r="D20" s="2" t="inlineStr">
        <is>
          <t>FE-1</t>
        </is>
      </c>
      <c r="E20" s="2" t="inlineStr">
        <is>
          <t>0.5h</t>
        </is>
      </c>
      <c r="F20" s="2" t="inlineStr"/>
    </row>
    <row r="21">
      <c r="A21" s="2" t="inlineStr">
        <is>
          <t>FE1</t>
        </is>
      </c>
      <c r="B21" s="3" t="inlineStr">
        <is>
          <t>Router + layout</t>
        </is>
      </c>
      <c r="C21" s="3" t="inlineStr">
        <is>
          <t>Tách layout chung (Navbar + Footer) khỏi HomePage</t>
        </is>
      </c>
      <c r="D21" s="2" t="inlineStr">
        <is>
          <t>FE-1</t>
        </is>
      </c>
      <c r="E21" s="2" t="inlineStr">
        <is>
          <t>3h</t>
        </is>
      </c>
      <c r="F21" s="2" t="inlineStr"/>
    </row>
    <row r="22">
      <c r="A22" s="2" t="inlineStr">
        <is>
          <t>FE1</t>
        </is>
      </c>
      <c r="B22" s="3" t="inlineStr">
        <is>
          <t>Router + layout</t>
        </is>
      </c>
      <c r="C22" s="3" t="inlineStr">
        <is>
          <t>Khai báo route rỗng: /tin-tuc /su-kien /du-an /gia-nhap /login /admin</t>
        </is>
      </c>
      <c r="D22" s="2" t="inlineStr">
        <is>
          <t>FE-1</t>
        </is>
      </c>
      <c r="E22" s="2" t="inlineStr">
        <is>
          <t>2h</t>
        </is>
      </c>
      <c r="F22" s="2" t="inlineStr"/>
    </row>
    <row r="23">
      <c r="A23" s="2" t="inlineStr">
        <is>
          <t>FE1</t>
        </is>
      </c>
      <c r="B23" s="3" t="inlineStr">
        <is>
          <t>Router + layout</t>
        </is>
      </c>
      <c r="C23" s="3" t="inlineStr">
        <is>
          <t>Nav link trỏ đúng route</t>
        </is>
      </c>
      <c r="D23" s="2" t="inlineStr">
        <is>
          <t>FE-1</t>
        </is>
      </c>
      <c r="E23" s="2" t="inlineStr">
        <is>
          <t>1h</t>
        </is>
      </c>
      <c r="F23" s="2" t="inlineStr"/>
    </row>
    <row r="24">
      <c r="A24" s="2" t="inlineStr">
        <is>
          <t>FE1</t>
        </is>
      </c>
      <c r="B24" s="3" t="inlineStr">
        <is>
          <t>Router + layout</t>
        </is>
      </c>
      <c r="C24" s="3" t="inlineStr">
        <is>
          <t>Trang 404</t>
        </is>
      </c>
      <c r="D24" s="2" t="inlineStr">
        <is>
          <t>FE-1</t>
        </is>
      </c>
      <c r="E24" s="2" t="inlineStr">
        <is>
          <t>1h</t>
        </is>
      </c>
      <c r="F24" s="2" t="inlineStr"/>
    </row>
    <row r="25">
      <c r="A25" s="2" t="inlineStr">
        <is>
          <t>FE1</t>
        </is>
      </c>
      <c r="B25" s="3" t="inlineStr">
        <is>
          <t>Router + layout</t>
        </is>
      </c>
      <c r="C25" s="3" t="inlineStr">
        <is>
          <t>Kiểm tra điều hướng chạy mượt</t>
        </is>
      </c>
      <c r="D25" s="2" t="inlineStr">
        <is>
          <t>FE-1</t>
        </is>
      </c>
      <c r="E25" s="2" t="inlineStr">
        <is>
          <t>1h</t>
        </is>
      </c>
      <c r="F25" s="2" t="inlineStr"/>
    </row>
    <row r="26">
      <c r="A26" s="13" t="inlineStr">
        <is>
          <t>FE2</t>
        </is>
      </c>
      <c r="B26" s="14" t="inlineStr">
        <is>
          <t>Đăng nhập UI + guard</t>
        </is>
      </c>
      <c r="C26" s="14" t="inlineStr">
        <is>
          <t>Form đăng nhập + validate</t>
        </is>
      </c>
      <c r="D26" s="13" t="inlineStr">
        <is>
          <t>FE-1</t>
        </is>
      </c>
      <c r="E26" s="13" t="inlineStr">
        <is>
          <t>2h</t>
        </is>
      </c>
      <c r="F26" s="13" t="inlineStr"/>
    </row>
    <row r="27">
      <c r="A27" s="13" t="inlineStr">
        <is>
          <t>FE2</t>
        </is>
      </c>
      <c r="B27" s="14" t="inlineStr">
        <is>
          <t>Đăng nhập UI + guard</t>
        </is>
      </c>
      <c r="C27" s="14" t="inlineStr">
        <is>
          <t>Gọi /auth/login + lưu phiên</t>
        </is>
      </c>
      <c r="D27" s="13" t="inlineStr">
        <is>
          <t>FE-1</t>
        </is>
      </c>
      <c r="E27" s="13" t="inlineStr">
        <is>
          <t>2h</t>
        </is>
      </c>
      <c r="F27" s="13" t="inlineStr"/>
    </row>
    <row r="28">
      <c r="A28" s="13" t="inlineStr">
        <is>
          <t>FE2</t>
        </is>
      </c>
      <c r="B28" s="14" t="inlineStr">
        <is>
          <t>Đăng nhập UI + guard</t>
        </is>
      </c>
      <c r="C28" s="14" t="inlineStr">
        <is>
          <t>Route guard: chưa đăng nhập → /login</t>
        </is>
      </c>
      <c r="D28" s="13" t="inlineStr">
        <is>
          <t>FE-1</t>
        </is>
      </c>
      <c r="E28" s="13" t="inlineStr">
        <is>
          <t>2h</t>
        </is>
      </c>
      <c r="F28" s="13" t="inlineStr"/>
    </row>
    <row r="29">
      <c r="A29" s="13" t="inlineStr">
        <is>
          <t>FE2</t>
        </is>
      </c>
      <c r="B29" s="14" t="inlineStr">
        <is>
          <t>Đăng nhập UI + guard</t>
        </is>
      </c>
      <c r="C29" s="14" t="inlineStr">
        <is>
          <t>Hiện lỗi sai mật khẩu + nút đăng xuất</t>
        </is>
      </c>
      <c r="D29" s="13" t="inlineStr">
        <is>
          <t>FE-1</t>
        </is>
      </c>
      <c r="E29" s="13" t="inlineStr">
        <is>
          <t>1h</t>
        </is>
      </c>
      <c r="F29" s="13" t="inlineStr"/>
    </row>
    <row r="30">
      <c r="A30" s="2" t="inlineStr">
        <is>
          <t>IN1</t>
        </is>
      </c>
      <c r="B30" s="3" t="inlineStr">
        <is>
          <t>CI gate PR</t>
        </is>
      </c>
      <c r="C30" s="3" t="inlineStr">
        <is>
          <t>Rà soát ci.yml: chạy pnpm check trên mọi PR</t>
        </is>
      </c>
      <c r="D30" s="2" t="inlineStr">
        <is>
          <t>OP-1</t>
        </is>
      </c>
      <c r="E30" s="2" t="inlineStr">
        <is>
          <t>2h</t>
        </is>
      </c>
      <c r="F30" s="2" t="inlineStr"/>
    </row>
    <row r="31">
      <c r="A31" s="2" t="inlineStr">
        <is>
          <t>IN1</t>
        </is>
      </c>
      <c r="B31" s="3" t="inlineStr">
        <is>
          <t>CI gate PR</t>
        </is>
      </c>
      <c r="C31" s="3" t="inlineStr">
        <is>
          <t>Thêm cache pnpm cho nhanh</t>
        </is>
      </c>
      <c r="D31" s="2" t="inlineStr">
        <is>
          <t>OP-1</t>
        </is>
      </c>
      <c r="E31" s="2" t="inlineStr">
        <is>
          <t>1h</t>
        </is>
      </c>
      <c r="F31" s="2" t="inlineStr"/>
    </row>
    <row r="32">
      <c r="A32" s="2" t="inlineStr">
        <is>
          <t>IN1</t>
        </is>
      </c>
      <c r="B32" s="3" t="inlineStr">
        <is>
          <t>CI gate PR</t>
        </is>
      </c>
      <c r="C32" s="3" t="inlineStr">
        <is>
          <t>Bật branch protection main (CI xanh + 1 review)</t>
        </is>
      </c>
      <c r="D32" s="2" t="inlineStr">
        <is>
          <t>OP-1</t>
        </is>
      </c>
      <c r="E32" s="2" t="inlineStr">
        <is>
          <t>1h</t>
        </is>
      </c>
      <c r="F32" s="2" t="inlineStr"/>
    </row>
    <row r="33">
      <c r="A33" s="2" t="inlineStr">
        <is>
          <t>IN1</t>
        </is>
      </c>
      <c r="B33" s="3" t="inlineStr">
        <is>
          <t>CI gate PR</t>
        </is>
      </c>
      <c r="C33" s="3" t="inlineStr">
        <is>
          <t>Tạo PR mẫu kiểm tra CI chạy</t>
        </is>
      </c>
      <c r="D33" s="2" t="inlineStr">
        <is>
          <t>OP-1</t>
        </is>
      </c>
      <c r="E33" s="2" t="inlineStr">
        <is>
          <t>1h</t>
        </is>
      </c>
      <c r="F33" s="2" t="inlineStr"/>
    </row>
    <row r="34">
      <c r="A34" s="13" t="inlineStr">
        <is>
          <t>CT1</t>
        </is>
      </c>
      <c r="B34" s="14" t="inlineStr">
        <is>
          <t>APC duyệt trang chủ</t>
        </is>
      </c>
      <c r="C34" s="14" t="inlineStr">
        <is>
          <t>Chuẩn bị demo (link localhost + screenshots)</t>
        </is>
      </c>
      <c r="D34" s="13" t="inlineStr">
        <is>
          <t>CLB/APC</t>
        </is>
      </c>
      <c r="E34" s="13" t="inlineStr">
        <is>
          <t>1h</t>
        </is>
      </c>
      <c r="F34" s="13" t="inlineStr"/>
    </row>
    <row r="35">
      <c r="A35" s="13" t="inlineStr">
        <is>
          <t>CT1</t>
        </is>
      </c>
      <c r="B35" s="14" t="inlineStr">
        <is>
          <t>APC duyệt trang chủ</t>
        </is>
      </c>
      <c r="C35" s="14" t="inlineStr">
        <is>
          <t>Trình BCN/APC bản redesign</t>
        </is>
      </c>
      <c r="D35" s="13" t="inlineStr">
        <is>
          <t>CLB/APC</t>
        </is>
      </c>
      <c r="E35" s="13" t="inlineStr">
        <is>
          <t>—</t>
        </is>
      </c>
      <c r="F35" s="13" t="inlineStr"/>
    </row>
    <row r="36">
      <c r="A36" s="13" t="inlineStr">
        <is>
          <t>CT1</t>
        </is>
      </c>
      <c r="B36" s="14" t="inlineStr">
        <is>
          <t>APC duyệt trang chủ</t>
        </is>
      </c>
      <c r="C36" s="14" t="inlineStr">
        <is>
          <t>Ghi nhận feedback chỉnh sửa</t>
        </is>
      </c>
      <c r="D36" s="13" t="inlineStr">
        <is>
          <t>CLB/APC</t>
        </is>
      </c>
      <c r="E36" s="13" t="inlineStr">
        <is>
          <t>—</t>
        </is>
      </c>
      <c r="F36" s="13" t="inlineStr"/>
    </row>
    <row r="37">
      <c r="A37" s="13" t="inlineStr">
        <is>
          <t>CT1</t>
        </is>
      </c>
      <c r="B37" s="14" t="inlineStr">
        <is>
          <t>APC duyệt trang chủ</t>
        </is>
      </c>
      <c r="C37" s="14" t="inlineStr">
        <is>
          <t>Nhận xác nhận duyệt bằng văn bản</t>
        </is>
      </c>
      <c r="D37" s="13" t="inlineStr">
        <is>
          <t>CLB/APC</t>
        </is>
      </c>
      <c r="E37" s="13" t="inlineStr">
        <is>
          <t>—</t>
        </is>
      </c>
      <c r="F37" s="13" t="inlineStr"/>
    </row>
  </sheetData>
  <conditionalFormatting sqref="F2:F37">
    <cfRule type="cellIs" priority="1" operator="equal" dxfId="3">
      <formula>"Xong"</formula>
    </cfRule>
  </conditionalFormatting>
  <dataValidations count="1">
    <dataValidation sqref="F2:F37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34" customWidth="1" min="4" max="4"/>
    <col width="24" customWidth="1" min="5" max="5"/>
    <col width="20" customWidth="1" min="6" max="6"/>
    <col width="22" customWidth="1" min="7" max="7"/>
  </cols>
  <sheetData>
    <row r="1" ht="24" customHeight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</t>
        </is>
      </c>
      <c r="G1" s="1" t="inlineStr">
        <is>
          <t>Ghi chú</t>
        </is>
      </c>
    </row>
    <row r="2" ht="30" customHeight="1">
      <c r="A2" s="2" t="inlineStr">
        <is>
          <t>BE-1</t>
        </is>
      </c>
      <c r="B2" s="4" t="inlineStr"/>
      <c r="C2" s="2" t="inlineStr">
        <is>
          <t>Backend</t>
        </is>
      </c>
      <c r="D2" s="3" t="inlineStr">
        <is>
          <t>DB + Seed + Upload</t>
        </is>
      </c>
      <c r="E2" s="3" t="inlineStr">
        <is>
          <t>Node/Fastify, SQL, S3</t>
        </is>
      </c>
      <c r="F2" s="3" t="inlineStr">
        <is>
          <t>BE1, BE2, BE8</t>
        </is>
      </c>
      <c r="G2" s="3" t="inlineStr"/>
    </row>
    <row r="3" ht="30" customHeight="1">
      <c r="A3" s="2" t="inlineStr">
        <is>
          <t>BE-2</t>
        </is>
      </c>
      <c r="B3" s="4" t="inlineStr"/>
      <c r="C3" s="2" t="inlineStr">
        <is>
          <t>Backend</t>
        </is>
      </c>
      <c r="D3" s="3" t="inlineStr">
        <is>
          <t>Auth + RBAC + Email + Tuyển</t>
        </is>
      </c>
      <c r="E3" s="3" t="inlineStr">
        <is>
          <t>Node, bảo mật, SMTP</t>
        </is>
      </c>
      <c r="F3" s="3" t="inlineStr">
        <is>
          <t>BE3, BE4, BE9, BE10</t>
        </is>
      </c>
      <c r="G3" s="3" t="inlineStr"/>
    </row>
    <row r="4" ht="30" customHeight="1">
      <c r="A4" s="2" t="inlineStr">
        <is>
          <t>BE-3</t>
        </is>
      </c>
      <c r="B4" s="4" t="inlineStr"/>
      <c r="C4" s="2" t="inlineStr">
        <is>
          <t>Backend</t>
        </is>
      </c>
      <c r="D4" s="3" t="inlineStr">
        <is>
          <t>CMS API (tin/sự kiện/dự án)</t>
        </is>
      </c>
      <c r="E4" s="3" t="inlineStr">
        <is>
          <t>Node, REST, Zod</t>
        </is>
      </c>
      <c r="F4" s="3" t="inlineStr">
        <is>
          <t>BE5, BE6, BE7</t>
        </is>
      </c>
      <c r="G4" s="3" t="inlineStr"/>
    </row>
    <row r="5" ht="30" customHeight="1">
      <c r="A5" s="2" t="inlineStr">
        <is>
          <t>FE-1</t>
        </is>
      </c>
      <c r="B5" s="4" t="inlineStr"/>
      <c r="C5" s="2" t="inlineStr">
        <is>
          <t>Frontend</t>
        </is>
      </c>
      <c r="D5" s="3" t="inlineStr">
        <is>
          <t>Router + Auth UI + Component chung</t>
        </is>
      </c>
      <c r="E5" s="3" t="inlineStr">
        <is>
          <t>React/TS</t>
        </is>
      </c>
      <c r="F5" s="3" t="inlineStr">
        <is>
          <t>FE1, FE2, FE9</t>
        </is>
      </c>
      <c r="G5" s="3" t="inlineStr"/>
    </row>
    <row r="6" ht="30" customHeight="1">
      <c r="A6" s="2" t="inlineStr">
        <is>
          <t>FE-2</t>
        </is>
      </c>
      <c r="B6" s="4" t="inlineStr"/>
      <c r="C6" s="2" t="inlineStr">
        <is>
          <t>Frontend</t>
        </is>
      </c>
      <c r="D6" s="3" t="inlineStr">
        <is>
          <t>Trang Tin tức + Sự kiện</t>
        </is>
      </c>
      <c r="E6" s="3" t="inlineStr">
        <is>
          <t>React/TS, Tailwind</t>
        </is>
      </c>
      <c r="F6" s="3" t="inlineStr">
        <is>
          <t>FE3, FE4</t>
        </is>
      </c>
      <c r="G6" s="3" t="inlineStr"/>
    </row>
    <row r="7" ht="30" customHeight="1">
      <c r="A7" s="2" t="inlineStr">
        <is>
          <t>FE-3</t>
        </is>
      </c>
      <c r="B7" s="4" t="inlineStr"/>
      <c r="C7" s="2" t="inlineStr">
        <is>
          <t>Frontend</t>
        </is>
      </c>
      <c r="D7" s="3" t="inlineStr">
        <is>
          <t>Trang Dự án + Form gia nhập</t>
        </is>
      </c>
      <c r="E7" s="3" t="inlineStr">
        <is>
          <t>React/TS</t>
        </is>
      </c>
      <c r="F7" s="3" t="inlineStr">
        <is>
          <t>FE5, FE6</t>
        </is>
      </c>
      <c r="G7" s="3" t="inlineStr"/>
    </row>
    <row r="8" ht="30" customHeight="1">
      <c r="A8" s="2" t="inlineStr">
        <is>
          <t>FE-4</t>
        </is>
      </c>
      <c r="B8" s="4" t="inlineStr"/>
      <c r="C8" s="2" t="inlineStr">
        <is>
          <t>Frontend</t>
        </is>
      </c>
      <c r="D8" s="3" t="inlineStr">
        <is>
          <t>CMS admin + Test FE</t>
        </is>
      </c>
      <c r="E8" s="3" t="inlineStr">
        <is>
          <t>React/TS, Vitest</t>
        </is>
      </c>
      <c r="F8" s="3" t="inlineStr">
        <is>
          <t>FE7, FE8</t>
        </is>
      </c>
      <c r="G8" s="3" t="inlineStr"/>
    </row>
    <row r="9" ht="30" customHeight="1">
      <c r="A9" s="2" t="inlineStr">
        <is>
          <t>OP-1</t>
        </is>
      </c>
      <c r="B9" s="4" t="inlineStr"/>
      <c r="C9" s="2" t="inlineStr">
        <is>
          <t>Hạ tầng/QA</t>
        </is>
      </c>
      <c r="D9" s="3" t="inlineStr">
        <is>
          <t>CI + Staging + Backup</t>
        </is>
      </c>
      <c r="E9" s="3" t="inlineStr">
        <is>
          <t>DevOps, Docker</t>
        </is>
      </c>
      <c r="F9" s="3" t="inlineStr">
        <is>
          <t>IN1, IN2, IN3</t>
        </is>
      </c>
      <c r="G9" s="3" t="inlineStr"/>
    </row>
    <row r="10" ht="30" customHeight="1">
      <c r="A10" s="2" t="inlineStr">
        <is>
          <t>OP-2</t>
        </is>
      </c>
      <c r="B10" s="4" t="inlineStr"/>
      <c r="C10" s="2" t="inlineStr">
        <is>
          <t>Hạ tầng/QA</t>
        </is>
      </c>
      <c r="D10" s="3" t="inlineStr">
        <is>
          <t>QA/E2E + Nội dung thật + Docs</t>
        </is>
      </c>
      <c r="E10" s="3" t="inlineStr">
        <is>
          <t>QA, nội dung</t>
        </is>
      </c>
      <c r="F10" s="3" t="inlineStr">
        <is>
          <t>IN4, CT2, DOC1</t>
        </is>
      </c>
      <c r="G10" s="3" t="inlineStr"/>
    </row>
    <row r="12">
      <c r="A12" s="5" t="inlineStr">
        <is>
          <t>Ghi chú: 9 bạn đều là người thực thi. Bạn (trưởng dự án) điều phối, review, chốt nội dung — xem tab 'Quy ước &amp; Điều phối'.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78" customWidth="1" min="2" max="2"/>
  </cols>
  <sheetData>
    <row r="1">
      <c r="A1" s="6" t="inlineStr">
        <is>
          <t>Quy ước làm việc &amp; Cách điều phối</t>
        </is>
      </c>
    </row>
    <row r="2" ht="8" customHeight="1">
      <c r="A2" s="7" t="inlineStr"/>
      <c r="B2" s="8" t="inlineStr"/>
    </row>
    <row r="3" ht="46" customHeight="1">
      <c r="A3" s="7" t="inlineStr">
        <is>
          <t>Khi giao 1 task, nói đủ 6 ý</t>
        </is>
      </c>
      <c r="B3" s="8" t="inlineStr">
        <is>
          <t>1) Mục tiêu  2) Định nghĩa Hoàn thành (DoD)  3) Deadline  4) Phụ thuộc (chờ ai xong)  5) Ai review  6) Kênh hỏi khi kẹt. (Cột DoD/Đầu ra trong Bảng nhiệm vụ đã có sẵn để copy.)</t>
        </is>
      </c>
    </row>
    <row r="4" ht="46" customHeight="1">
      <c r="A4" s="7" t="inlineStr">
        <is>
          <t>Định nghĩa Hoàn thành chung</t>
        </is>
      </c>
      <c r="B4" s="8" t="inlineStr">
        <is>
          <t>Code chạy + có test tối thiểu + 'pnpm check' xanh + PR được 1 người review + đã cập nhật Trạng thái=Xong trên sheet.</t>
        </is>
      </c>
    </row>
    <row r="5" ht="46" customHeight="1">
      <c r="A5" s="7" t="inlineStr">
        <is>
          <t>Git</t>
        </is>
      </c>
      <c r="B5" s="8" t="inlineStr">
        <is>
          <t>Mỗi task 1 nhánh đặt theo mã (vd 'be1-db-schema'). PR nhỏ, mô tả rõ. KHÔNG push thẳng main. CI phải xanh mới merge.</t>
        </is>
      </c>
    </row>
    <row r="6" ht="46" customHeight="1">
      <c r="A6" s="7" t="inlineStr">
        <is>
          <t>Nhịp làm việc</t>
        </is>
      </c>
      <c r="B6" s="8" t="inlineStr">
        <is>
          <t>Check-in ngắn 15' hai lần/tuần. Trước mỗi buổi, ai nấy tự cập nhật Trạng thái + Tiến độ + Ghi chú trên sheet.</t>
        </is>
      </c>
    </row>
    <row r="7" ht="46" customHeight="1">
      <c r="A7" s="7" t="inlineStr">
        <is>
          <t>Khi bị kẹt (Blocked)</t>
        </is>
      </c>
      <c r="B7" s="8" t="inlineStr">
        <is>
          <t>Kẹt quá nửa ngày → đổi Trạng thái=Blocked, ghi lý do vào cột Ghi chú, báo ngay trong nhóm. Không im lặng ôm task.</t>
        </is>
      </c>
    </row>
    <row r="8" ht="46" customHeight="1">
      <c r="A8" s="7" t="inlineStr">
        <is>
          <t>Thứ tự ưu tiên</t>
        </is>
      </c>
      <c r="B8" s="8" t="inlineStr">
        <is>
          <t>Làm P0 trước, rồi P1. Không bắt đầu task khi 'Phụ thuộc' chưa Xong (vd chưa có BE1 thì khoan làm BE5).</t>
        </is>
      </c>
    </row>
    <row r="9" ht="60" customHeight="1">
      <c r="A9" s="7" t="inlineStr">
        <is>
          <t>Lịch nén (DEADLINE 15/10)</t>
        </is>
      </c>
      <c r="B9" s="15" t="inlineStr">
        <is>
          <t>DEADLINE CỨNG 15/10/2026. Bắt đầu 01/09. S1 01–12/09: DB, Auth, Router, CI, xin APC duyệt (5 nút chặn). S2 15–26/09: CMS API + trang public. S3 29/09–10/10: CMS admin + form tuyển. Chốt/QA 13–15/10: staging, backup, nội dung thật, kiểm thử, ra mắt.</t>
        </is>
      </c>
    </row>
    <row r="10" ht="46" customHeight="1">
      <c r="A10" s="7" t="inlineStr">
        <is>
          <t>Cách dùng sheet</t>
        </is>
      </c>
      <c r="B10" s="8" t="inlineStr">
        <is>
          <t>Bảng nhiệm vụ = việc + cách làm. Thành viên = ai làm gì. Cột Ưu tiên/Trạng thái có dropdown, Trạng thái tự tô màu. Xoá dòng ví dụ VD0.</t>
        </is>
      </c>
    </row>
    <row r="12">
      <c r="A12" s="9" t="inlineStr">
        <is>
          <t>TỔNG QUAN</t>
        </is>
      </c>
    </row>
    <row r="13">
      <c r="A13" s="10" t="inlineStr">
        <is>
          <t>Tổng nhiệm vụ (trừ ví dụ)</t>
        </is>
      </c>
      <c r="B13" s="10">
        <f>COUNTA('Bảng nhiệm vụ'!$A$2:$A$100)-COUNTIF('Bảng nhiệm vụ'!$A$2:$A$100,"VD0")</f>
        <v/>
      </c>
    </row>
    <row r="14">
      <c r="A14" s="10" t="inlineStr">
        <is>
          <t>Xong</t>
        </is>
      </c>
      <c r="B14" s="10">
        <f>COUNTIF('Bảng nhiệm vụ'!$J$2:$J$100,"Xong")</f>
        <v/>
      </c>
    </row>
    <row r="15">
      <c r="A15" s="10" t="inlineStr">
        <is>
          <t>Đang làm</t>
        </is>
      </c>
      <c r="B15" s="10">
        <f>COUNTIF('Bảng nhiệm vụ'!$J$2:$J$100,"Đang làm")</f>
        <v/>
      </c>
    </row>
    <row r="16">
      <c r="A16" s="10" t="inlineStr">
        <is>
          <t>Blocked</t>
        </is>
      </c>
      <c r="B16" s="10">
        <f>COUNTIF('Bảng nhiệm vụ'!$J$2:$J$100,"Blocked")</f>
        <v/>
      </c>
    </row>
    <row r="17">
      <c r="A17" s="10" t="inlineStr">
        <is>
          <t>Chưa bắt đầu</t>
        </is>
      </c>
      <c r="B17" s="10">
        <f>COUNTIF('Bảng nhiệm vụ'!$J$2:$J$100,"Chưa bắt đầu")</f>
        <v/>
      </c>
    </row>
    <row r="18">
      <c r="A18" s="11" t="inlineStr">
        <is>
          <t>% hoàn thành</t>
        </is>
      </c>
      <c r="B18" s="12">
        <f>IFERROR(COUNTIF('Bảng nhiệm vụ'!$J$2:$J$100,"Xong")/(COUNTA('Bảng nhiệm vụ'!$A$2:$A$100)-COUNTIF('Bảng nhiệm vụ'!$A$2:$A$100,"VD0")),0)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2026-08-27T06:42:56Z</dcterms:created>
  <dcterms:modified xmlns:dcterms="http://purl.org/dc/terms/" xmlns:xsi="http://www.w3.org/2001/XMLSchema-instance" xsi:type="dcterms:W3CDTF">2026-08-27T06:55:38Z</dcterms:modified>
</cp:coreProperties>
</file>